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corecard" sheetId="1" state="visible" r:id="rId3"/>
    <sheet name="Yearly_Trends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<sst xmlns="http://schemas.openxmlformats.org/spreadsheetml/2006/main" count="137" uniqueCount="79">
  <si>
    <t xml:space="preserve">Saudi Vision 2030 — KPI Progress Tracker</t>
  </si>
  <si>
    <t xml:space="preserve">Data sourced from Vision 2030 Annual Report 2024, datasaudi.sa, GASTAT, Saudi Ministry of Tourism</t>
  </si>
  <si>
    <t xml:space="preserve">KPI</t>
  </si>
  <si>
    <t xml:space="preserve">Pillar</t>
  </si>
  <si>
    <t xml:space="preserve">Unit</t>
  </si>
  <si>
    <t xml:space="preserve">2016 Baseline</t>
  </si>
  <si>
    <t xml:space="preserve">2024 Actual</t>
  </si>
  <si>
    <t xml:space="preserve">2024 Target</t>
  </si>
  <si>
    <t xml:space="preserve">2030 Target</t>
  </si>
  <si>
    <t xml:space="preserve">Direction</t>
  </si>
  <si>
    <t xml:space="preserve">Status</t>
  </si>
  <si>
    <t xml:space="preserve">Progress %</t>
  </si>
  <si>
    <t xml:space="preserve">Unemployment Rate</t>
  </si>
  <si>
    <t xml:space="preserve">Economy</t>
  </si>
  <si>
    <t xml:space="preserve">%</t>
  </si>
  <si>
    <t xml:space="preserve">—</t>
  </si>
  <si>
    <t xml:space="preserve">Lower is better</t>
  </si>
  <si>
    <t xml:space="preserve">Exceeded</t>
  </si>
  <si>
    <t xml:space="preserve">Female Workforce Participation</t>
  </si>
  <si>
    <t xml:space="preserve">Higher is better</t>
  </si>
  <si>
    <t xml:space="preserve">Private Sector GDP Contribution</t>
  </si>
  <si>
    <t xml:space="preserve">PIF Assets Under Management</t>
  </si>
  <si>
    <t xml:space="preserve">$B</t>
  </si>
  <si>
    <t xml:space="preserve">Homeownership Rate</t>
  </si>
  <si>
    <t xml:space="preserve">Society</t>
  </si>
  <si>
    <t xml:space="preserve">International Tourist Arrivals</t>
  </si>
  <si>
    <t xml:space="preserve">M</t>
  </si>
  <si>
    <t xml:space="preserve">On Track</t>
  </si>
  <si>
    <t xml:space="preserve">Volunteers</t>
  </si>
  <si>
    <t xml:space="preserve">UN E-Government Rank</t>
  </si>
  <si>
    <t xml:space="preserve">Governance</t>
  </si>
  <si>
    <t xml:space="preserve">Rank</t>
  </si>
  <si>
    <t xml:space="preserve">UN E-Participation Rank</t>
  </si>
  <si>
    <t xml:space="preserve">Environmental Performance</t>
  </si>
  <si>
    <t xml:space="preserve">Behind</t>
  </si>
  <si>
    <t xml:space="preserve">Non-Oil Exports % of GDP</t>
  </si>
  <si>
    <t xml:space="preserve">Yearly Trend Data — Key Vision 2030 Indicators</t>
  </si>
  <si>
    <t xml:space="preserve">PIF Assets Under Management ($B)</t>
  </si>
  <si>
    <t xml:space="preserve">International Tourist Arrivals (M)</t>
  </si>
  <si>
    <t xml:space="preserve">UN Digital Governance Rankings</t>
  </si>
  <si>
    <t xml:space="preserve">Year</t>
  </si>
  <si>
    <t xml:space="preserve">AUM ($B)</t>
  </si>
  <si>
    <t xml:space="preserve">Arrivals (M)</t>
  </si>
  <si>
    <t xml:space="preserve">E-Gov Rank</t>
  </si>
  <si>
    <t xml:space="preserve">E-Part Rank</t>
  </si>
  <si>
    <t xml:space="preserve">Homeownership Rate (%)</t>
  </si>
  <si>
    <t xml:space="preserve">Volunteers (Millions)</t>
  </si>
  <si>
    <t xml:space="preserve">Rate (%)</t>
  </si>
  <si>
    <t xml:space="preserve">Count (M)</t>
  </si>
  <si>
    <t xml:space="preserve">Data Sources</t>
  </si>
  <si>
    <t xml:space="preserve">Source</t>
  </si>
  <si>
    <t xml:space="preserve">Data Used</t>
  </si>
  <si>
    <t xml:space="preserve">URL</t>
  </si>
  <si>
    <t xml:space="preserve">Date Accessed</t>
  </si>
  <si>
    <t xml:space="preserve">Vision 2030 Annual Report 2024</t>
  </si>
  <si>
    <t xml:space="preserve">All KPI targets, baselines, actuals</t>
  </si>
  <si>
    <t xml:space="preserve">vision2030.gov.sa/en/annual-reports</t>
  </si>
  <si>
    <t xml:space="preserve">March 2026</t>
  </si>
  <si>
    <t xml:space="preserve">DataSaudi (GASTAT)</t>
  </si>
  <si>
    <t xml:space="preserve">GDP, Unemployment, Labor Force, Gov Revenue</t>
  </si>
  <si>
    <t xml:space="preserve">datasaudi.sa/en</t>
  </si>
  <si>
    <t xml:space="preserve">PIF Annual Report 2024</t>
  </si>
  <si>
    <t xml:space="preserve">PIF Assets Under Management yearly</t>
  </si>
  <si>
    <t xml:space="preserve">pif.gov.sa/en/investors/annual-reports</t>
  </si>
  <si>
    <t xml:space="preserve">Saudi Ministry of Tourism</t>
  </si>
  <si>
    <t xml:space="preserve">Tourist arrivals yearly data</t>
  </si>
  <si>
    <t xml:space="preserve">sta.gov.sa/en/open-data</t>
  </si>
  <si>
    <t xml:space="preserve">Housing Program Annual Report 2024</t>
  </si>
  <si>
    <t xml:space="preserve">Homeownership rate yearly</t>
  </si>
  <si>
    <t xml:space="preserve">momah.gov.sa</t>
  </si>
  <si>
    <t xml:space="preserve">Saudi Open Data Portal</t>
  </si>
  <si>
    <t xml:space="preserve">Supplementary datasets (CSV)</t>
  </si>
  <si>
    <t xml:space="preserve">open.data.gov.sa</t>
  </si>
  <si>
    <t xml:space="preserve">Al Arabiya English</t>
  </si>
  <si>
    <t xml:space="preserve">Volunteer count, UN rankings</t>
  </si>
  <si>
    <t xml:space="preserve">english.alarabiya.net</t>
  </si>
  <si>
    <t xml:space="preserve">Saudi Gazette</t>
  </si>
  <si>
    <t xml:space="preserve">KPI summary, 3 behind-target indicators</t>
  </si>
  <si>
    <t xml:space="preserve">saudigazette.com.sa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</si>
</sst>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FB950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11"/>
      <color rgb="FF3FB950"/>
      <name val="Arial"/>
      <family val="0"/>
      <charset val="1"/>
    </font>
    <font>
      <sz val="11"/>
      <color rgb="FFE6EDF3"/>
      <name val="Arial"/>
      <family val="0"/>
      <charset val="1"/>
    </font>
    <font>
      <b val="true"/>
      <sz val="11"/>
      <color rgb="FF58A6FF"/>
      <name val="Arial"/>
      <family val="0"/>
      <charset val="1"/>
    </font>
    <font>
      <b val="true"/>
      <sz val="11"/>
      <color rgb="FFF0B429"/>
      <name val="Arial"/>
      <family val="0"/>
      <charset val="1"/>
    </font>
    <font>
      <b val="true"/>
      <sz val="11"/>
      <color rgb="FFF85149"/>
      <name val="Arial"/>
      <family val="0"/>
      <charset val="1"/>
    </font>
    <font>
      <b val="true"/>
      <sz val="12"/>
      <color rgb="FF3FB95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1A2332"/>
        <bgColor rgb="FF161B22"/>
      </patternFill>
    </fill>
    <fill>
      <patternFill patternType="solid">
        <fgColor rgb="FF1A3A2A"/>
        <bgColor rgb="FF30363D"/>
      </patternFill>
    </fill>
    <fill>
      <patternFill patternType="solid">
        <fgColor rgb="FF161B22"/>
        <bgColor rgb="FF1A2332"/>
      </patternFill>
    </fill>
    <fill>
      <patternFill patternType="solid">
        <fgColor rgb="FF3A2A1A"/>
        <bgColor rgb="FF3A1A1A"/>
      </patternFill>
    </fill>
    <fill>
      <patternFill patternType="solid">
        <fgColor rgb="FF3A1A1A"/>
        <bgColor rgb="FF3A2A1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08080"/>
      <rgbColor rgb="FFC0C0C0"/>
      <rgbColor rgb="FF808080"/>
      <rgbColor rgb="FF58A6FF"/>
      <rgbColor rgb="FF993366"/>
      <rgbColor rgb="FFFFFFCC"/>
      <rgbColor rgb="FFCCFFFF"/>
      <rgbColor rgb="FF3A1A1A"/>
      <rgbColor rgb="FFFF8080"/>
      <rgbColor rgb="FF0066CC"/>
      <rgbColor rgb="FFCCCCFF"/>
      <rgbColor rgb="FF161B22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0B429"/>
      <rgbColor rgb="FFFF9900"/>
      <rgbColor rgb="FFF85149"/>
      <rgbColor rgb="FF666699"/>
      <rgbColor rgb="FF8B949E"/>
      <rgbColor rgb="FF1A2332"/>
      <rgbColor rgb="FF3FB950"/>
      <rgbColor rgb="FF1A3A2A"/>
      <rgbColor rgb="FF3A2A1A"/>
      <rgbColor rgb="FF993300"/>
      <rgbColor rgb="FF993366"/>
      <rgbColor rgb="FF333399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B950"/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7" min="5" style="0" width="15"/>
    <col collapsed="false" customWidth="true" hidden="false" outlineLevel="0" max="8" min="8" style="0" width="18"/>
    <col collapsed="false" customWidth="true" hidden="false" outlineLevel="0" max="10" min="9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5" t="n">
        <v>12.3</v>
      </c>
      <c r="E5" s="5" t="n">
        <v>7</v>
      </c>
      <c r="F5" s="5" t="s">
        <v>15</v>
      </c>
      <c r="G5" s="5" t="n">
        <v>7</v>
      </c>
      <c r="H5" s="5" t="s">
        <v>16</v>
      </c>
      <c r="I5" s="6" t="s">
        <v>17</v>
      </c>
      <c r="J5" s="7" t="n">
        <f aca="false">MIN((D5-E5)/(D5-G5)*100,100)</f>
        <v>100</v>
      </c>
    </row>
    <row r="6" customFormat="false" ht="15" hidden="false" customHeight="false" outlineLevel="0" collapsed="false">
      <c r="A6" s="8" t="s">
        <v>18</v>
      </c>
      <c r="B6" s="9" t="s">
        <v>13</v>
      </c>
      <c r="C6" s="9" t="s">
        <v>14</v>
      </c>
      <c r="D6" s="9" t="n">
        <v>17</v>
      </c>
      <c r="E6" s="9" t="n">
        <v>33.5</v>
      </c>
      <c r="F6" s="9" t="s">
        <v>15</v>
      </c>
      <c r="G6" s="9" t="n">
        <v>30</v>
      </c>
      <c r="H6" s="9" t="s">
        <v>19</v>
      </c>
      <c r="I6" s="6" t="s">
        <v>17</v>
      </c>
      <c r="J6" s="10" t="n">
        <f aca="false">MIN((E6-D6)/(G6-D6)*100,100)</f>
        <v>100</v>
      </c>
    </row>
    <row r="7" customFormat="false" ht="15" hidden="false" customHeight="false" outlineLevel="0" collapsed="false">
      <c r="A7" s="4" t="s">
        <v>20</v>
      </c>
      <c r="B7" s="5" t="s">
        <v>13</v>
      </c>
      <c r="C7" s="5" t="s">
        <v>14</v>
      </c>
      <c r="D7" s="5" t="n">
        <v>40</v>
      </c>
      <c r="E7" s="5" t="n">
        <v>47</v>
      </c>
      <c r="F7" s="5" t="n">
        <v>46</v>
      </c>
      <c r="G7" s="5" t="s">
        <v>15</v>
      </c>
      <c r="H7" s="5" t="s">
        <v>19</v>
      </c>
      <c r="I7" s="6" t="s">
        <v>17</v>
      </c>
      <c r="J7" s="7" t="s">
        <v>15</v>
      </c>
    </row>
    <row r="8" customFormat="false" ht="15" hidden="false" customHeight="false" outlineLevel="0" collapsed="false">
      <c r="A8" s="8" t="s">
        <v>21</v>
      </c>
      <c r="B8" s="9" t="s">
        <v>13</v>
      </c>
      <c r="C8" s="9" t="s">
        <v>22</v>
      </c>
      <c r="D8" s="9" t="n">
        <v>152</v>
      </c>
      <c r="E8" s="9" t="n">
        <v>913</v>
      </c>
      <c r="F8" s="9" t="n">
        <v>880</v>
      </c>
      <c r="G8" s="9" t="n">
        <v>2670</v>
      </c>
      <c r="H8" s="9" t="s">
        <v>19</v>
      </c>
      <c r="I8" s="6" t="s">
        <v>17</v>
      </c>
      <c r="J8" s="10" t="n">
        <f aca="false">MIN((E8-D8)/(G8-D8)*100,100)</f>
        <v>30.2223987291501</v>
      </c>
    </row>
    <row r="9" customFormat="false" ht="15" hidden="false" customHeight="false" outlineLevel="0" collapsed="false">
      <c r="A9" s="4" t="s">
        <v>23</v>
      </c>
      <c r="B9" s="5" t="s">
        <v>24</v>
      </c>
      <c r="C9" s="5" t="s">
        <v>14</v>
      </c>
      <c r="D9" s="5" t="n">
        <v>47</v>
      </c>
      <c r="E9" s="5" t="n">
        <v>65.4</v>
      </c>
      <c r="F9" s="5" t="n">
        <v>64</v>
      </c>
      <c r="G9" s="5" t="n">
        <v>70</v>
      </c>
      <c r="H9" s="5" t="s">
        <v>19</v>
      </c>
      <c r="I9" s="6" t="s">
        <v>17</v>
      </c>
      <c r="J9" s="7" t="n">
        <f aca="false">MIN((E9-D9)/(G9-D9)*100,100)</f>
        <v>80</v>
      </c>
    </row>
    <row r="10" customFormat="false" ht="15" hidden="false" customHeight="false" outlineLevel="0" collapsed="false">
      <c r="A10" s="8" t="s">
        <v>25</v>
      </c>
      <c r="B10" s="9" t="s">
        <v>24</v>
      </c>
      <c r="C10" s="9" t="s">
        <v>26</v>
      </c>
      <c r="D10" s="9" t="n">
        <v>18</v>
      </c>
      <c r="E10" s="9" t="n">
        <v>29.7</v>
      </c>
      <c r="F10" s="9" t="s">
        <v>15</v>
      </c>
      <c r="G10" s="9" t="n">
        <v>70</v>
      </c>
      <c r="H10" s="9" t="s">
        <v>19</v>
      </c>
      <c r="I10" s="11" t="s">
        <v>27</v>
      </c>
      <c r="J10" s="10" t="n">
        <f aca="false">MIN((E10-D10)/(G10-D10)*100,100)</f>
        <v>22.5</v>
      </c>
    </row>
    <row r="11" customFormat="false" ht="15" hidden="false" customHeight="false" outlineLevel="0" collapsed="false">
      <c r="A11" s="4" t="s">
        <v>28</v>
      </c>
      <c r="B11" s="5" t="s">
        <v>24</v>
      </c>
      <c r="C11" s="5" t="s">
        <v>26</v>
      </c>
      <c r="D11" s="5" t="n">
        <v>0.023</v>
      </c>
      <c r="E11" s="5" t="n">
        <v>1.2</v>
      </c>
      <c r="F11" s="5" t="s">
        <v>15</v>
      </c>
      <c r="G11" s="5" t="n">
        <v>1</v>
      </c>
      <c r="H11" s="5" t="s">
        <v>19</v>
      </c>
      <c r="I11" s="6" t="s">
        <v>17</v>
      </c>
      <c r="J11" s="7" t="n">
        <f aca="false">MIN((E11-D11)/(G11-D11)*100,100)</f>
        <v>100</v>
      </c>
    </row>
    <row r="12" customFormat="false" ht="15" hidden="false" customHeight="false" outlineLevel="0" collapsed="false">
      <c r="A12" s="8" t="s">
        <v>29</v>
      </c>
      <c r="B12" s="9" t="s">
        <v>30</v>
      </c>
      <c r="C12" s="9" t="s">
        <v>31</v>
      </c>
      <c r="D12" s="9" t="n">
        <v>36</v>
      </c>
      <c r="E12" s="9" t="n">
        <v>6</v>
      </c>
      <c r="F12" s="9" t="n">
        <v>26</v>
      </c>
      <c r="G12" s="9" t="n">
        <v>5</v>
      </c>
      <c r="H12" s="9" t="s">
        <v>16</v>
      </c>
      <c r="I12" s="6" t="s">
        <v>17</v>
      </c>
      <c r="J12" s="10" t="n">
        <f aca="false">MIN((D12-E12)/(D12-G12)*100,100)</f>
        <v>96.7741935483871</v>
      </c>
    </row>
    <row r="13" customFormat="false" ht="15" hidden="false" customHeight="false" outlineLevel="0" collapsed="false">
      <c r="A13" s="4" t="s">
        <v>32</v>
      </c>
      <c r="B13" s="5" t="s">
        <v>30</v>
      </c>
      <c r="C13" s="5" t="s">
        <v>31</v>
      </c>
      <c r="D13" s="5" t="n">
        <v>39</v>
      </c>
      <c r="E13" s="5" t="n">
        <v>7</v>
      </c>
      <c r="F13" s="5" t="n">
        <v>10</v>
      </c>
      <c r="G13" s="5" t="n">
        <v>10</v>
      </c>
      <c r="H13" s="5" t="s">
        <v>16</v>
      </c>
      <c r="I13" s="6" t="s">
        <v>17</v>
      </c>
      <c r="J13" s="7" t="n">
        <f aca="false">MIN((D13-E13)/(D13-G13)*100,100)</f>
        <v>100</v>
      </c>
    </row>
    <row r="14" customFormat="false" ht="15" hidden="false" customHeight="false" outlineLevel="0" collapsed="false">
      <c r="A14" s="8" t="s">
        <v>33</v>
      </c>
      <c r="B14" s="9" t="s">
        <v>30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  <c r="H14" s="9" t="s">
        <v>15</v>
      </c>
      <c r="I14" s="12" t="s">
        <v>34</v>
      </c>
      <c r="J14" s="10" t="s">
        <v>15</v>
      </c>
    </row>
    <row r="15" customFormat="false" ht="15" hidden="false" customHeight="false" outlineLevel="0" collapsed="false">
      <c r="A15" s="4" t="s">
        <v>35</v>
      </c>
      <c r="B15" s="5" t="s">
        <v>13</v>
      </c>
      <c r="C15" s="5" t="s">
        <v>14</v>
      </c>
      <c r="D15" s="5" t="s">
        <v>15</v>
      </c>
      <c r="E15" s="5" t="s">
        <v>15</v>
      </c>
      <c r="F15" s="5" t="s">
        <v>15</v>
      </c>
      <c r="G15" s="5" t="s">
        <v>15</v>
      </c>
      <c r="H15" s="5" t="s">
        <v>15</v>
      </c>
      <c r="I15" s="12" t="s">
        <v>34</v>
      </c>
      <c r="J15" s="7" t="s">
        <v>15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9.7" hidden="false" customHeight="false" outlineLevel="0" collapsed="false">
      <c r="A1" s="13" t="s">
        <v>36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14" t="s">
        <v>37</v>
      </c>
      <c r="B3" s="14"/>
      <c r="D3" s="14" t="s">
        <v>38</v>
      </c>
      <c r="E3" s="14"/>
      <c r="G3" s="14" t="s">
        <v>39</v>
      </c>
      <c r="H3" s="14"/>
      <c r="I3" s="14"/>
    </row>
    <row r="4" customFormat="false" ht="15" hidden="false" customHeight="false" outlineLevel="0" collapsed="false">
      <c r="A4" s="3" t="s">
        <v>40</v>
      </c>
      <c r="B4" s="3" t="s">
        <v>41</v>
      </c>
      <c r="D4" s="3" t="s">
        <v>40</v>
      </c>
      <c r="E4" s="3" t="s">
        <v>42</v>
      </c>
      <c r="G4" s="3" t="s">
        <v>40</v>
      </c>
      <c r="H4" s="3" t="s">
        <v>43</v>
      </c>
      <c r="I4" s="3" t="s">
        <v>44</v>
      </c>
    </row>
    <row r="5" customFormat="false" ht="15" hidden="false" customHeight="false" outlineLevel="0" collapsed="false">
      <c r="A5" s="5" t="n">
        <v>2015</v>
      </c>
      <c r="B5" s="5" t="n">
        <v>152</v>
      </c>
      <c r="D5" s="5" t="n">
        <v>2016</v>
      </c>
      <c r="E5" s="5" t="n">
        <v>18</v>
      </c>
      <c r="G5" s="5" t="n">
        <v>2016</v>
      </c>
      <c r="H5" s="5" t="n">
        <v>36</v>
      </c>
      <c r="I5" s="5" t="n">
        <v>39</v>
      </c>
    </row>
    <row r="6" customFormat="false" ht="15" hidden="false" customHeight="false" outlineLevel="0" collapsed="false">
      <c r="A6" s="9" t="n">
        <v>2016</v>
      </c>
      <c r="B6" s="9" t="n">
        <v>152</v>
      </c>
      <c r="D6" s="9" t="n">
        <v>2017</v>
      </c>
      <c r="E6" s="9" t="n">
        <v>16.1</v>
      </c>
      <c r="G6" s="9" t="n">
        <v>2024</v>
      </c>
      <c r="H6" s="9" t="n">
        <v>6</v>
      </c>
      <c r="I6" s="9" t="n">
        <v>7</v>
      </c>
    </row>
    <row r="7" customFormat="false" ht="15" hidden="false" customHeight="false" outlineLevel="0" collapsed="false">
      <c r="A7" s="5" t="n">
        <v>2017</v>
      </c>
      <c r="B7" s="5" t="n">
        <v>223</v>
      </c>
      <c r="D7" s="5" t="n">
        <v>2018</v>
      </c>
      <c r="E7" s="5" t="n">
        <v>15.3</v>
      </c>
    </row>
    <row r="8" customFormat="false" ht="15" hidden="false" customHeight="false" outlineLevel="0" collapsed="false">
      <c r="A8" s="9" t="n">
        <v>2018</v>
      </c>
      <c r="B8" s="9" t="n">
        <v>250</v>
      </c>
      <c r="D8" s="9" t="n">
        <v>2019</v>
      </c>
      <c r="E8" s="9" t="n">
        <v>20.2</v>
      </c>
    </row>
    <row r="9" customFormat="false" ht="15" hidden="false" customHeight="false" outlineLevel="0" collapsed="false">
      <c r="A9" s="5" t="n">
        <v>2019</v>
      </c>
      <c r="B9" s="5" t="n">
        <v>320</v>
      </c>
      <c r="D9" s="5" t="n">
        <v>2020</v>
      </c>
      <c r="E9" s="5" t="n">
        <v>3.5</v>
      </c>
    </row>
    <row r="10" customFormat="false" ht="15" hidden="false" customHeight="false" outlineLevel="0" collapsed="false">
      <c r="A10" s="9" t="n">
        <v>2020</v>
      </c>
      <c r="B10" s="9" t="n">
        <v>400</v>
      </c>
      <c r="D10" s="9" t="n">
        <v>2021</v>
      </c>
      <c r="E10" s="9" t="n">
        <v>3.5</v>
      </c>
    </row>
    <row r="11" customFormat="false" ht="15" hidden="false" customHeight="false" outlineLevel="0" collapsed="false">
      <c r="A11" s="5" t="n">
        <v>2021</v>
      </c>
      <c r="B11" s="5" t="n">
        <v>528</v>
      </c>
      <c r="D11" s="5" t="n">
        <v>2022</v>
      </c>
      <c r="E11" s="5" t="n">
        <v>16.4</v>
      </c>
    </row>
    <row r="12" customFormat="false" ht="15" hidden="false" customHeight="false" outlineLevel="0" collapsed="false">
      <c r="A12" s="9" t="n">
        <v>2022</v>
      </c>
      <c r="B12" s="9" t="n">
        <v>607</v>
      </c>
      <c r="D12" s="9" t="n">
        <v>2023</v>
      </c>
      <c r="E12" s="9" t="n">
        <v>27.4</v>
      </c>
    </row>
    <row r="13" customFormat="false" ht="15" hidden="false" customHeight="false" outlineLevel="0" collapsed="false">
      <c r="A13" s="5" t="n">
        <v>2023</v>
      </c>
      <c r="B13" s="5" t="n">
        <v>765</v>
      </c>
      <c r="D13" s="5" t="n">
        <v>2024</v>
      </c>
      <c r="E13" s="5" t="n">
        <v>29.7</v>
      </c>
    </row>
    <row r="14" customFormat="false" ht="15" hidden="false" customHeight="false" outlineLevel="0" collapsed="false">
      <c r="A14" s="9" t="n">
        <v>2024</v>
      </c>
      <c r="B14" s="9" t="n">
        <v>913</v>
      </c>
    </row>
    <row r="17" customFormat="false" ht="15" hidden="false" customHeight="false" outlineLevel="0" collapsed="false">
      <c r="A17" s="14" t="s">
        <v>45</v>
      </c>
      <c r="B17" s="14"/>
      <c r="D17" s="14" t="s">
        <v>46</v>
      </c>
      <c r="E17" s="14"/>
    </row>
    <row r="18" customFormat="false" ht="15" hidden="false" customHeight="false" outlineLevel="0" collapsed="false">
      <c r="A18" s="3" t="s">
        <v>40</v>
      </c>
      <c r="B18" s="3" t="s">
        <v>47</v>
      </c>
      <c r="D18" s="3" t="s">
        <v>40</v>
      </c>
      <c r="E18" s="3" t="s">
        <v>48</v>
      </c>
    </row>
    <row r="19" customFormat="false" ht="15" hidden="false" customHeight="false" outlineLevel="0" collapsed="false">
      <c r="A19" s="5" t="n">
        <v>2016</v>
      </c>
      <c r="B19" s="5" t="n">
        <v>47</v>
      </c>
      <c r="D19" s="5" t="n">
        <v>2015</v>
      </c>
      <c r="E19" s="5" t="n">
        <v>0.023</v>
      </c>
    </row>
    <row r="20" customFormat="false" ht="15" hidden="false" customHeight="false" outlineLevel="0" collapsed="false">
      <c r="A20" s="9" t="n">
        <v>2018</v>
      </c>
      <c r="B20" s="9" t="n">
        <v>52</v>
      </c>
      <c r="D20" s="9" t="n">
        <v>2020</v>
      </c>
      <c r="E20" s="9" t="n">
        <v>0.3</v>
      </c>
    </row>
    <row r="21" customFormat="false" ht="15" hidden="false" customHeight="false" outlineLevel="0" collapsed="false">
      <c r="A21" s="5" t="n">
        <v>2020</v>
      </c>
      <c r="B21" s="5" t="n">
        <v>62</v>
      </c>
      <c r="D21" s="5" t="n">
        <v>2023</v>
      </c>
      <c r="E21" s="5" t="n">
        <v>0.8</v>
      </c>
    </row>
    <row r="22" customFormat="false" ht="15" hidden="false" customHeight="false" outlineLevel="0" collapsed="false">
      <c r="A22" s="9" t="n">
        <v>2022</v>
      </c>
      <c r="B22" s="9" t="n">
        <v>60.6</v>
      </c>
      <c r="D22" s="9" t="n">
        <v>2024</v>
      </c>
      <c r="E22" s="9" t="n">
        <v>1.2</v>
      </c>
    </row>
    <row r="23" customFormat="false" ht="15" hidden="false" customHeight="false" outlineLevel="0" collapsed="false">
      <c r="A23" s="5" t="n">
        <v>2023</v>
      </c>
      <c r="B23" s="5" t="n">
        <v>63.7</v>
      </c>
    </row>
    <row r="24" customFormat="false" ht="15" hidden="false" customHeight="false" outlineLevel="0" collapsed="false">
      <c r="A24" s="9" t="n">
        <v>2024</v>
      </c>
      <c r="B24" s="9" t="n">
        <v>65.4</v>
      </c>
    </row>
  </sheetData>
  <mergeCells count="6">
    <mergeCell ref="A1:H1"/>
    <mergeCell ref="A3:B3"/>
    <mergeCell ref="D3:E3"/>
    <mergeCell ref="G3:I3"/>
    <mergeCell ref="A17:B17"/>
    <mergeCell ref="D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B429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45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3" t="s">
        <v>49</v>
      </c>
      <c r="B1" s="13"/>
      <c r="C1" s="13"/>
      <c r="D1" s="13"/>
    </row>
    <row r="3" customFormat="false" ht="15" hidden="false" customHeight="false" outlineLevel="0" collapsed="false">
      <c r="A3" s="3" t="s">
        <v>50</v>
      </c>
      <c r="B3" s="3" t="s">
        <v>51</v>
      </c>
      <c r="C3" s="3" t="s">
        <v>52</v>
      </c>
      <c r="D3" s="3" t="s">
        <v>53</v>
      </c>
    </row>
    <row r="4" customFormat="false" ht="15" hidden="false" customHeight="false" outlineLevel="0" collapsed="false">
      <c r="A4" s="4" t="s">
        <v>54</v>
      </c>
      <c r="B4" s="4" t="s">
        <v>55</v>
      </c>
      <c r="C4" s="4" t="s">
        <v>56</v>
      </c>
      <c r="D4" s="4" t="s">
        <v>57</v>
      </c>
    </row>
    <row r="5" customFormat="false" ht="26.85" hidden="false" customHeight="false" outlineLevel="0" collapsed="false">
      <c r="A5" s="8" t="s">
        <v>58</v>
      </c>
      <c r="B5" s="8" t="s">
        <v>59</v>
      </c>
      <c r="C5" s="8" t="s">
        <v>60</v>
      </c>
      <c r="D5" s="8" t="s">
        <v>57</v>
      </c>
    </row>
    <row r="6" customFormat="false" ht="15" hidden="false" customHeight="false" outlineLevel="0" collapsed="false">
      <c r="A6" s="4" t="s">
        <v>61</v>
      </c>
      <c r="B6" s="4" t="s">
        <v>62</v>
      </c>
      <c r="C6" s="4" t="s">
        <v>63</v>
      </c>
      <c r="D6" s="4" t="s">
        <v>57</v>
      </c>
    </row>
    <row r="7" customFormat="false" ht="15" hidden="false" customHeight="false" outlineLevel="0" collapsed="false">
      <c r="A7" s="8" t="s">
        <v>64</v>
      </c>
      <c r="B7" s="8" t="s">
        <v>65</v>
      </c>
      <c r="C7" s="8" t="s">
        <v>66</v>
      </c>
      <c r="D7" s="8" t="s">
        <v>57</v>
      </c>
    </row>
    <row r="8" customFormat="false" ht="26.85" hidden="false" customHeight="false" outlineLevel="0" collapsed="false">
      <c r="A8" s="4" t="s">
        <v>67</v>
      </c>
      <c r="B8" s="4" t="s">
        <v>68</v>
      </c>
      <c r="C8" s="4" t="s">
        <v>69</v>
      </c>
      <c r="D8" s="4" t="s">
        <v>57</v>
      </c>
    </row>
    <row r="9" customFormat="false" ht="15" hidden="false" customHeight="false" outlineLevel="0" collapsed="false">
      <c r="A9" s="8" t="s">
        <v>70</v>
      </c>
      <c r="B9" s="8" t="s">
        <v>71</v>
      </c>
      <c r="C9" s="8" t="s">
        <v>72</v>
      </c>
      <c r="D9" s="8" t="s">
        <v>57</v>
      </c>
    </row>
    <row r="10" customFormat="false" ht="15" hidden="false" customHeight="false" outlineLevel="0" collapsed="false">
      <c r="A10" s="4" t="s">
        <v>73</v>
      </c>
      <c r="B10" s="4" t="s">
        <v>74</v>
      </c>
      <c r="C10" s="4" t="s">
        <v>75</v>
      </c>
      <c r="D10" s="4" t="s">
        <v>57</v>
      </c>
    </row>
    <row r="11" customFormat="false" ht="15" hidden="false" customHeight="false" outlineLevel="0" collapsed="false">
      <c r="A11" s="8" t="s">
        <v>76</v>
      </c>
      <c r="B11" s="8" t="s">
        <v>77</v>
      </c>
      <c r="C11" s="8" t="s">
        <v>78</v>
      </c>
      <c r="D11" s="8" t="s">
        <v>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2026-03-31T14:46:37Z</dcterms:created>
  <dc:creator>openpyxl</dc:creator>
  <dc:description/>
  <dc:language>en-US</dc:language>
  <cp:lastModifiedBy/>
  <dcterms:modified xsi:type="dcterms:W3CDTF">2026-03-31T14:46:37Z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